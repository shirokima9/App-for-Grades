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درجات" state="visible" r:id="rId4"/>
    <sheet sheetId="2" name="إرشادات" state="visible" r:id="rId5"/>
  </sheets>
  <calcPr calcId="171027"/>
</workbook>
</file>

<file path=xl/calcChain.xml><?xml version="1.0" encoding="utf-8"?>
<calcChain xmlns="http://schemas.openxmlformats.org/spreadsheetml/2006/main">
  <c r="I6" i="1"/>
</calcChain>
</file>

<file path=xl/sharedStrings.xml><?xml version="1.0" encoding="utf-8"?>
<sst xmlns="http://schemas.openxmlformats.org/spreadsheetml/2006/main" count="68" uniqueCount="44">
  <si>
    <t>سلطنة عُمان — وزارة التربية والتعليم</t>
  </si>
  <si>
    <t>مدرسة النهضة للتعليم الأساسي (6-8)</t>
  </si>
  <si>
    <t>مادة تقنية المعلومات — الفصل الدراسي الأول — العام الدراسي 2025/2026</t>
  </si>
  <si>
    <t>م</t>
  </si>
  <si>
    <t>اسم الطالب</t>
  </si>
  <si>
    <t>الصف</t>
  </si>
  <si>
    <t>الشعبة</t>
  </si>
  <si>
    <t>الأداة الأولى</t>
  </si>
  <si>
    <t>الأداة الثانية</t>
  </si>
  <si>
    <t>المشروع</t>
  </si>
  <si>
    <t>الاختبار القصير</t>
  </si>
  <si>
    <t>المجموع</t>
  </si>
  <si>
    <t>التقدير</t>
  </si>
  <si>
    <t>الحالة</t>
  </si>
  <si>
    <t>أحمد سالم محمد البلوشي</t>
  </si>
  <si>
    <t>أ</t>
  </si>
  <si>
    <t>أحمد سليم محمد البلوشي</t>
  </si>
  <si>
    <t>عبدالله خميس سعيد الحارثي</t>
  </si>
  <si>
    <t>عبد الله خميس سعود الحارثي</t>
  </si>
  <si>
    <t>محمد علي حمد الوهيبي</t>
  </si>
  <si>
    <t>محمود علي حمد الوهيبي</t>
  </si>
  <si>
    <t>سالم ناصر خلفان السيابي</t>
  </si>
  <si>
    <t>سليمان ناصر خلفان السيابي</t>
  </si>
  <si>
    <t>خالد يوسف عبدالله العامري</t>
  </si>
  <si>
    <t>هيثم سعود راشد المعمري</t>
  </si>
  <si>
    <t>يوسف إبراهيم خليل الزدجالي</t>
  </si>
  <si>
    <t>مازن حمود سالم الرواحي</t>
  </si>
  <si>
    <t>طارق زاهر علي المقبالي</t>
  </si>
  <si>
    <t>ناصر حمد سيف الهنائي</t>
  </si>
  <si>
    <t>بدر سعيد حمدان الشقصي</t>
  </si>
  <si>
    <t>فيصل عامر محسن الكندي</t>
  </si>
  <si>
    <t>عمار داود سليمان اللواتي</t>
  </si>
  <si>
    <t>حسام مبارك علي الجابري</t>
  </si>
  <si>
    <t>راشد صالح ماجد العبري</t>
  </si>
  <si>
    <t>تركي فهد ناصر القاسمي</t>
  </si>
  <si>
    <t>أنس محمد عوض الشحي</t>
  </si>
  <si>
    <t>إياد عادل حسن الريامي</t>
  </si>
  <si>
    <t>آدم وليد جمال البادي</t>
  </si>
  <si>
    <t>مصطفى أنور لطفي الفارسي</t>
  </si>
  <si>
    <t>حمزة عيسى موسى النعماني</t>
  </si>
  <si>
    <t>متوسط الشعبة</t>
  </si>
  <si>
    <t>تعليمات الرصد</t>
  </si>
  <si>
    <t>تُدخل الدرجات في الأعمدة المخصصة فقط (من عمود الأداة الأولى إلى الاختبار القصير).</t>
  </si>
  <si>
    <t>لا تعدّل على المعادلات أو الترويسة.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</si>
</sst>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34" customWidth="1"/>
    <col min="3" max="4" width="8" customWidth="1"/>
    <col min="5" max="7" width="12" customWidth="1"/>
    <col min="8" max="8" width="14" customWidth="1"/>
    <col min="9" max="9" width="12" customWidth="1"/>
    <col min="10" max="10" width="10" customWidth="1"/>
  </cols>
  <sheetData>
    <row r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s="1" customForma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5" spans="1:11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x14ac:dyDescent="0.25">
      <c r="A6">
        <v>1</v>
      </c>
      <c r="B6" t="s">
        <v>14</v>
      </c>
      <c r="C6">
        <v>6</v>
      </c>
      <c r="D6" t="s">
        <v>15</v>
      </c>
      <c r="E6" s="3"/>
      <c r="F6" s="3"/>
      <c r="G6" s="3"/>
      <c r="H6" s="3"/>
      <c r="I6">
        <f>SUM(E6:H6)</f>
        <v>0</v>
      </c>
      <c r="J6">
        <f>IF(I6&gt;=72,"أ",IF(I6&gt;=64,"ب",IF(I6&gt;=52,"ج",IF(I6&gt;=40,"د","هـ"))))</f>
        <v>0</v>
      </c>
      <c r="K6" s="4"/>
    </row>
    <row r="7" spans="1:11" x14ac:dyDescent="0.25">
      <c r="A7">
        <v>2</v>
      </c>
      <c r="B7" t="s">
        <v>16</v>
      </c>
      <c r="C7">
        <v>6</v>
      </c>
      <c r="D7" t="s">
        <v>15</v>
      </c>
      <c r="E7" s="3"/>
      <c r="F7" s="3"/>
      <c r="G7" s="3"/>
      <c r="H7" s="3"/>
      <c r="I7">
        <f>SUM(E7:H7)</f>
        <v>0</v>
      </c>
      <c r="J7">
        <f>IF(I7&gt;=72,"أ",IF(I7&gt;=64,"ب",IF(I7&gt;=52,"ج",IF(I7&gt;=40,"د","هـ"))))</f>
        <v>0</v>
      </c>
      <c r="K7" s="4"/>
    </row>
    <row r="8" spans="1:11" x14ac:dyDescent="0.25">
      <c r="A8">
        <v>3</v>
      </c>
      <c r="B8" t="s">
        <v>17</v>
      </c>
      <c r="C8">
        <v>6</v>
      </c>
      <c r="D8" t="s">
        <v>15</v>
      </c>
      <c r="E8" s="3"/>
      <c r="F8" s="3"/>
      <c r="G8" s="3"/>
      <c r="H8" s="3"/>
      <c r="I8">
        <f>SUM(E8:H8)</f>
        <v>0</v>
      </c>
      <c r="J8">
        <f>IF(I8&gt;=72,"أ",IF(I8&gt;=64,"ب",IF(I8&gt;=52,"ج",IF(I8&gt;=40,"د","هـ"))))</f>
        <v>0</v>
      </c>
      <c r="K8" s="4"/>
    </row>
    <row r="9" spans="1:11" x14ac:dyDescent="0.25">
      <c r="A9">
        <v>4</v>
      </c>
      <c r="B9" t="s">
        <v>18</v>
      </c>
      <c r="C9">
        <v>6</v>
      </c>
      <c r="D9" t="s">
        <v>15</v>
      </c>
      <c r="E9" s="3"/>
      <c r="F9" s="3"/>
      <c r="G9" s="3"/>
      <c r="H9" s="3"/>
      <c r="I9">
        <f>SUM(E9:H9)</f>
        <v>0</v>
      </c>
      <c r="J9">
        <f>IF(I9&gt;=72,"أ",IF(I9&gt;=64,"ب",IF(I9&gt;=52,"ج",IF(I9&gt;=40,"د","هـ"))))</f>
        <v>0</v>
      </c>
      <c r="K9" s="4"/>
    </row>
    <row r="10" spans="1:11" x14ac:dyDescent="0.25">
      <c r="A10">
        <v>5</v>
      </c>
      <c r="B10" t="s">
        <v>19</v>
      </c>
      <c r="C10">
        <v>6</v>
      </c>
      <c r="D10" t="s">
        <v>15</v>
      </c>
      <c r="E10" s="3"/>
      <c r="F10" s="3"/>
      <c r="G10" s="3"/>
      <c r="H10" s="3"/>
      <c r="I10">
        <f>SUM(E10:H10)</f>
        <v>0</v>
      </c>
      <c r="J10">
        <f>IF(I10&gt;=72,"أ",IF(I10&gt;=64,"ب",IF(I10&gt;=52,"ج",IF(I10&gt;=40,"د","هـ"))))</f>
        <v>0</v>
      </c>
      <c r="K10" s="4"/>
    </row>
    <row r="11" spans="1:11" x14ac:dyDescent="0.25">
      <c r="A11">
        <v>6</v>
      </c>
      <c r="B11" t="s">
        <v>20</v>
      </c>
      <c r="C11">
        <v>6</v>
      </c>
      <c r="D11" t="s">
        <v>15</v>
      </c>
      <c r="E11" s="3"/>
      <c r="F11" s="3"/>
      <c r="G11" s="3"/>
      <c r="H11" s="3"/>
      <c r="I11">
        <f>SUM(E11:H11)</f>
        <v>0</v>
      </c>
      <c r="J11">
        <f>IF(I11&gt;=72,"أ",IF(I11&gt;=64,"ب",IF(I11&gt;=52,"ج",IF(I11&gt;=40,"د","هـ"))))</f>
        <v>0</v>
      </c>
      <c r="K11" s="4"/>
    </row>
    <row r="12" spans="1:11" x14ac:dyDescent="0.25">
      <c r="A12">
        <v>7</v>
      </c>
      <c r="B12" t="s">
        <v>21</v>
      </c>
      <c r="C12">
        <v>6</v>
      </c>
      <c r="D12" t="s">
        <v>15</v>
      </c>
      <c r="E12" s="3"/>
      <c r="F12" s="3"/>
      <c r="G12" s="3"/>
      <c r="H12" s="3"/>
      <c r="I12">
        <f>SUM(E12:H12)</f>
        <v>0</v>
      </c>
      <c r="J12">
        <f>IF(I12&gt;=72,"أ",IF(I12&gt;=64,"ب",IF(I12&gt;=52,"ج",IF(I12&gt;=40,"د","هـ"))))</f>
        <v>0</v>
      </c>
      <c r="K12" s="4"/>
    </row>
    <row r="13" spans="1:11" x14ac:dyDescent="0.25">
      <c r="A13">
        <v>8</v>
      </c>
      <c r="B13" t="s">
        <v>22</v>
      </c>
      <c r="C13">
        <v>6</v>
      </c>
      <c r="D13" t="s">
        <v>15</v>
      </c>
      <c r="E13" s="3"/>
      <c r="F13" s="3"/>
      <c r="G13" s="3"/>
      <c r="H13" s="3"/>
      <c r="I13">
        <f>SUM(E13:H13)</f>
        <v>0</v>
      </c>
      <c r="J13">
        <f>IF(I13&gt;=72,"أ",IF(I13&gt;=64,"ب",IF(I13&gt;=52,"ج",IF(I13&gt;=40,"د","هـ"))))</f>
        <v>0</v>
      </c>
      <c r="K13" s="4"/>
    </row>
    <row r="14" spans="1:11" x14ac:dyDescent="0.25">
      <c r="A14">
        <v>9</v>
      </c>
      <c r="B14" t="s">
        <v>23</v>
      </c>
      <c r="C14">
        <v>6</v>
      </c>
      <c r="D14" t="s">
        <v>15</v>
      </c>
      <c r="E14" s="3"/>
      <c r="F14" s="3"/>
      <c r="G14" s="3"/>
      <c r="H14" s="3"/>
      <c r="I14">
        <f>SUM(E14:H14)</f>
        <v>0</v>
      </c>
      <c r="J14">
        <f>IF(I14&gt;=72,"أ",IF(I14&gt;=64,"ب",IF(I14&gt;=52,"ج",IF(I14&gt;=40,"د","هـ"))))</f>
        <v>0</v>
      </c>
      <c r="K14" s="4"/>
    </row>
    <row r="15" spans="1:11" x14ac:dyDescent="0.25">
      <c r="A15">
        <v>10</v>
      </c>
      <c r="B15" t="s">
        <v>24</v>
      </c>
      <c r="C15">
        <v>6</v>
      </c>
      <c r="D15" t="s">
        <v>15</v>
      </c>
      <c r="E15" s="3"/>
      <c r="F15" s="3"/>
      <c r="G15" s="3"/>
      <c r="H15" s="3"/>
      <c r="I15">
        <f>SUM(E15:H15)</f>
        <v>0</v>
      </c>
      <c r="J15">
        <f>IF(I15&gt;=72,"أ",IF(I15&gt;=64,"ب",IF(I15&gt;=52,"ج",IF(I15&gt;=40,"د","هـ"))))</f>
        <v>0</v>
      </c>
      <c r="K15" s="4"/>
    </row>
    <row r="16" spans="1:11" x14ac:dyDescent="0.25">
      <c r="A16">
        <v>11</v>
      </c>
      <c r="B16" t="s">
        <v>25</v>
      </c>
      <c r="C16">
        <v>6</v>
      </c>
      <c r="D16" t="s">
        <v>15</v>
      </c>
      <c r="E16" s="3"/>
      <c r="F16" s="3"/>
      <c r="G16" s="3"/>
      <c r="H16" s="3"/>
      <c r="I16">
        <f>SUM(E16:H16)</f>
        <v>0</v>
      </c>
      <c r="J16">
        <f>IF(I16&gt;=72,"أ",IF(I16&gt;=64,"ب",IF(I16&gt;=52,"ج",IF(I16&gt;=40,"د","هـ"))))</f>
        <v>0</v>
      </c>
      <c r="K16" s="4"/>
    </row>
    <row r="17" spans="1:11" x14ac:dyDescent="0.25">
      <c r="A17">
        <v>12</v>
      </c>
      <c r="B17" t="s">
        <v>26</v>
      </c>
      <c r="C17">
        <v>6</v>
      </c>
      <c r="D17" t="s">
        <v>15</v>
      </c>
      <c r="E17" s="3"/>
      <c r="F17" s="3"/>
      <c r="G17" s="3"/>
      <c r="H17" s="3"/>
      <c r="I17">
        <f>SUM(E17:H17)</f>
        <v>0</v>
      </c>
      <c r="J17">
        <f>IF(I17&gt;=72,"أ",IF(I17&gt;=64,"ب",IF(I17&gt;=52,"ج",IF(I17&gt;=40,"د","هـ"))))</f>
        <v>0</v>
      </c>
      <c r="K17" s="4"/>
    </row>
    <row r="18" spans="1:11" x14ac:dyDescent="0.25">
      <c r="A18">
        <v>13</v>
      </c>
      <c r="B18" t="s">
        <v>27</v>
      </c>
      <c r="C18">
        <v>6</v>
      </c>
      <c r="D18" t="s">
        <v>15</v>
      </c>
      <c r="E18" s="3"/>
      <c r="F18" s="3"/>
      <c r="G18" s="3"/>
      <c r="H18" s="3"/>
      <c r="I18">
        <f>SUM(E18:H18)</f>
        <v>0</v>
      </c>
      <c r="J18">
        <f>IF(I18&gt;=72,"أ",IF(I18&gt;=64,"ب",IF(I18&gt;=52,"ج",IF(I18&gt;=40,"د","هـ"))))</f>
        <v>0</v>
      </c>
      <c r="K18" s="4"/>
    </row>
    <row r="19" spans="1:11" x14ac:dyDescent="0.25">
      <c r="A19">
        <v>14</v>
      </c>
      <c r="B19" t="s">
        <v>28</v>
      </c>
      <c r="C19">
        <v>6</v>
      </c>
      <c r="D19" t="s">
        <v>15</v>
      </c>
      <c r="E19" s="3"/>
      <c r="F19" s="3"/>
      <c r="G19" s="3"/>
      <c r="H19" s="3"/>
      <c r="I19">
        <f>SUM(E19:H19)</f>
        <v>0</v>
      </c>
      <c r="J19">
        <f>IF(I19&gt;=72,"أ",IF(I19&gt;=64,"ب",IF(I19&gt;=52,"ج",IF(I19&gt;=40,"د","هـ"))))</f>
        <v>0</v>
      </c>
      <c r="K19" s="4"/>
    </row>
    <row r="20" spans="1:11" x14ac:dyDescent="0.25">
      <c r="A20">
        <v>15</v>
      </c>
      <c r="B20" t="s">
        <v>29</v>
      </c>
      <c r="C20">
        <v>6</v>
      </c>
      <c r="D20" t="s">
        <v>15</v>
      </c>
      <c r="E20" s="3"/>
      <c r="F20" s="3"/>
      <c r="G20" s="3"/>
      <c r="H20" s="3"/>
      <c r="I20">
        <f>SUM(E20:H20)</f>
        <v>0</v>
      </c>
      <c r="J20">
        <f>IF(I20&gt;=72,"أ",IF(I20&gt;=64,"ب",IF(I20&gt;=52,"ج",IF(I20&gt;=40,"د","هـ"))))</f>
        <v>0</v>
      </c>
      <c r="K20" s="4"/>
    </row>
    <row r="21" spans="1:11" x14ac:dyDescent="0.25">
      <c r="A21">
        <v>16</v>
      </c>
      <c r="B21" t="s">
        <v>30</v>
      </c>
      <c r="C21">
        <v>6</v>
      </c>
      <c r="D21" t="s">
        <v>15</v>
      </c>
      <c r="E21" s="3"/>
      <c r="F21" s="3"/>
      <c r="G21" s="3"/>
      <c r="H21" s="3"/>
      <c r="I21">
        <f>SUM(E21:H21)</f>
        <v>0</v>
      </c>
      <c r="J21">
        <f>IF(I21&gt;=72,"أ",IF(I21&gt;=64,"ب",IF(I21&gt;=52,"ج",IF(I21&gt;=40,"د","هـ"))))</f>
        <v>0</v>
      </c>
      <c r="K21" s="4"/>
    </row>
    <row r="22" spans="1:11" x14ac:dyDescent="0.25">
      <c r="A22">
        <v>17</v>
      </c>
      <c r="B22" t="s">
        <v>31</v>
      </c>
      <c r="C22">
        <v>6</v>
      </c>
      <c r="D22" t="s">
        <v>15</v>
      </c>
      <c r="E22" s="3"/>
      <c r="F22" s="3"/>
      <c r="G22" s="3"/>
      <c r="H22" s="3"/>
      <c r="I22">
        <f>SUM(E22:H22)</f>
        <v>0</v>
      </c>
      <c r="J22">
        <f>IF(I22&gt;=72,"أ",IF(I22&gt;=64,"ب",IF(I22&gt;=52,"ج",IF(I22&gt;=40,"د","هـ"))))</f>
        <v>0</v>
      </c>
      <c r="K22" s="4"/>
    </row>
    <row r="23" spans="1:11" x14ac:dyDescent="0.25">
      <c r="A23">
        <v>18</v>
      </c>
      <c r="B23" t="s">
        <v>32</v>
      </c>
      <c r="C23">
        <v>6</v>
      </c>
      <c r="D23" t="s">
        <v>15</v>
      </c>
      <c r="E23" s="3"/>
      <c r="F23" s="3"/>
      <c r="G23" s="3"/>
      <c r="H23" s="3"/>
      <c r="I23">
        <f>SUM(E23:H23)</f>
        <v>0</v>
      </c>
      <c r="J23">
        <f>IF(I23&gt;=72,"أ",IF(I23&gt;=64,"ب",IF(I23&gt;=52,"ج",IF(I23&gt;=40,"د","هـ"))))</f>
        <v>0</v>
      </c>
      <c r="K23" s="4"/>
    </row>
    <row r="24" spans="1:11" x14ac:dyDescent="0.25">
      <c r="A24">
        <v>19</v>
      </c>
      <c r="B24" t="s">
        <v>33</v>
      </c>
      <c r="C24">
        <v>6</v>
      </c>
      <c r="D24" t="s">
        <v>15</v>
      </c>
      <c r="E24" s="3"/>
      <c r="F24" s="3"/>
      <c r="G24" s="3"/>
      <c r="H24" s="3"/>
      <c r="I24">
        <f>SUM(E24:H24)</f>
        <v>0</v>
      </c>
      <c r="J24">
        <f>IF(I24&gt;=72,"أ",IF(I24&gt;=64,"ب",IF(I24&gt;=52,"ج",IF(I24&gt;=40,"د","هـ"))))</f>
        <v>0</v>
      </c>
      <c r="K24" s="4"/>
    </row>
    <row r="25" spans="1:11" x14ac:dyDescent="0.25">
      <c r="A25">
        <v>20</v>
      </c>
      <c r="B25" t="s">
        <v>34</v>
      </c>
      <c r="C25">
        <v>6</v>
      </c>
      <c r="D25" t="s">
        <v>15</v>
      </c>
      <c r="E25" s="3"/>
      <c r="F25" s="3"/>
      <c r="G25" s="3"/>
      <c r="H25" s="3"/>
      <c r="I25">
        <f>SUM(E25:H25)</f>
        <v>0</v>
      </c>
      <c r="J25">
        <f>IF(I25&gt;=72,"أ",IF(I25&gt;=64,"ب",IF(I25&gt;=52,"ج",IF(I25&gt;=40,"د","هـ"))))</f>
        <v>0</v>
      </c>
      <c r="K25" s="4"/>
    </row>
    <row r="26" spans="1:11" x14ac:dyDescent="0.25">
      <c r="A26">
        <v>21</v>
      </c>
      <c r="B26" t="s">
        <v>35</v>
      </c>
      <c r="C26">
        <v>6</v>
      </c>
      <c r="D26" t="s">
        <v>15</v>
      </c>
      <c r="E26" s="3"/>
      <c r="F26" s="3"/>
      <c r="G26" s="3"/>
      <c r="H26" s="3"/>
      <c r="I26">
        <f>SUM(E26:H26)</f>
        <v>0</v>
      </c>
      <c r="J26">
        <f>IF(I26&gt;=72,"أ",IF(I26&gt;=64,"ب",IF(I26&gt;=52,"ج",IF(I26&gt;=40,"د","هـ"))))</f>
        <v>0</v>
      </c>
      <c r="K26" s="4"/>
    </row>
    <row r="27" spans="1:11" x14ac:dyDescent="0.25">
      <c r="A27">
        <v>22</v>
      </c>
      <c r="B27" t="s">
        <v>36</v>
      </c>
      <c r="C27">
        <v>6</v>
      </c>
      <c r="D27" t="s">
        <v>15</v>
      </c>
      <c r="E27" s="3"/>
      <c r="F27" s="3"/>
      <c r="G27" s="3"/>
      <c r="H27" s="3"/>
      <c r="I27">
        <f>SUM(E27:H27)</f>
        <v>0</v>
      </c>
      <c r="J27">
        <f>IF(I27&gt;=72,"أ",IF(I27&gt;=64,"ب",IF(I27&gt;=52,"ج",IF(I27&gt;=40,"د","هـ"))))</f>
        <v>0</v>
      </c>
      <c r="K27" s="4"/>
    </row>
    <row r="28" spans="1:11" x14ac:dyDescent="0.25">
      <c r="A28">
        <v>23</v>
      </c>
      <c r="B28" t="s">
        <v>37</v>
      </c>
      <c r="C28">
        <v>6</v>
      </c>
      <c r="D28" t="s">
        <v>15</v>
      </c>
      <c r="E28" s="3"/>
      <c r="F28" s="3"/>
      <c r="G28" s="3"/>
      <c r="H28" s="3"/>
      <c r="I28">
        <f>SUM(E28:H28)</f>
        <v>0</v>
      </c>
      <c r="J28">
        <f>IF(I28&gt;=72,"أ",IF(I28&gt;=64,"ب",IF(I28&gt;=52,"ج",IF(I28&gt;=40,"د","هـ"))))</f>
        <v>0</v>
      </c>
      <c r="K28" s="4"/>
    </row>
    <row r="29" spans="1:11" x14ac:dyDescent="0.25">
      <c r="A29">
        <v>24</v>
      </c>
      <c r="B29" t="s">
        <v>38</v>
      </c>
      <c r="C29">
        <v>6</v>
      </c>
      <c r="D29" t="s">
        <v>15</v>
      </c>
      <c r="E29" s="3"/>
      <c r="F29" s="3"/>
      <c r="G29" s="3"/>
      <c r="H29" s="3"/>
      <c r="I29">
        <f>SUM(E29:H29)</f>
        <v>0</v>
      </c>
      <c r="J29">
        <f>IF(I29&gt;=72,"أ",IF(I29&gt;=64,"ب",IF(I29&gt;=52,"ج",IF(I29&gt;=40,"د","هـ"))))</f>
        <v>0</v>
      </c>
      <c r="K29" s="4"/>
    </row>
    <row r="30" spans="1:11" x14ac:dyDescent="0.25">
      <c r="A30">
        <v>25</v>
      </c>
      <c r="B30" t="s">
        <v>39</v>
      </c>
      <c r="C30">
        <v>6</v>
      </c>
      <c r="D30" t="s">
        <v>15</v>
      </c>
      <c r="E30" s="3"/>
      <c r="F30" s="3"/>
      <c r="G30" s="3"/>
      <c r="H30" s="3"/>
      <c r="I30">
        <f>SUM(E30:H30)</f>
        <v>0</v>
      </c>
      <c r="J30">
        <f>IF(I30&gt;=72,"أ",IF(I30&gt;=64,"ب",IF(I30&gt;=52,"ج",IF(I30&gt;=40,"د","هـ"))))</f>
        <v>0</v>
      </c>
      <c r="K30" s="4"/>
    </row>
    <row r="32" spans="2:9" x14ac:dyDescent="0.25">
      <c r="B32" t="s">
        <v>40</v>
      </c>
      <c r="I32">
        <f>IFERROR(AVERAGE(I6:I30),"")</f>
        <v>0</v>
      </c>
    </row>
  </sheetData>
  <sheetProtection sheet="1" algorithmName="SHA-512" hashValue="75pbrOJcSfqHHs/Bs2Qy2Pn+nwSs1aHZumjnxLL6CIJpfHzNlaZbD0b7StL7IfWwy3o3I1WgGeVh15pEhokkhw==" saltValue="aUfObxs29Gt48f+3uFbKlQ==" spinCount="100000"/>
  <mergeCells count="3">
    <mergeCell ref="A1:J1"/>
    <mergeCell ref="A2:J2"/>
    <mergeCell ref="A3:J3"/>
  </mergeCells>
  <conditionalFormatting sqref="I6:I30">
    <cfRule type="cellIs" dxfId="0" priority="1" operator="lessThan">
      <formula>40</formula>
    </cfRule>
  </conditionalFormatting>
  <dataValidations count="2">
    <dataValidation type="whole" allowBlank="1" showErrorMessage="1" errorTitle="قيمة غير صحيحة" error="الدرجة يجب أن تكون عددًا صحيحًا بين 0 و 20" sqref="E6:H30">
      <formula1>0</formula1>
      <formula2>20</formula2>
    </dataValidation>
    <dataValidation type="list" allowBlank="1" showErrorMessage="1" sqref="K6:K30">
      <formula1>"مستمر,منقول,منسحب"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</sheetData>
  <sheetProtection sheet="1" algorithmName="SHA-512" hashValue="W/OYgz793Di7eoL/LxirsTLFarFuQI30bxUXqiWuPoIJgIbCIUamdvOWlp9lipfWyVdzhgdf/T3Z3XmfWWPIOg==" saltValue="vWWqtKxwdlBWMKlvgZn+C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الدرجات</vt:lpstr>
      <vt:lpstr>إرشادات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وزارة التربية والتعليم (نموذج تجريبي)</dc:creator>
  <dc:title/>
  <dc:subject/>
  <dc:description/>
  <cp:keywords/>
  <cp:category/>
  <cp:lastModifiedBy>Unknown</cp:lastModifiedBy>
  <dcterms:created xsi:type="dcterms:W3CDTF">2026-09-09T11:28:37Z</dcterms:created>
  <dcterms:modified xsi:type="dcterms:W3CDTF">2026-09-09T11:28:37Z</dcterms:modified>
</cp:coreProperties>
</file>